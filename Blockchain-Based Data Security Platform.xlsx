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<sst xmlns="http://schemas.openxmlformats.org/spreadsheetml/2006/main" count="28" uniqueCount="27">
  <si>
    <t>Case Study 99 : Blockchain-Based Data Security Platform at BlockShield Security Pvt. LTD</t>
  </si>
  <si>
    <t>Students must analyze both financial feasibility and technical viability to evaluate whether launching the blockchain-based data security platform is profitable and sustainable.</t>
  </si>
  <si>
    <t>A. One-Time (Development &amp; Launch) Costs</t>
  </si>
  <si>
    <t>Cost Component</t>
  </si>
  <si>
    <t>Amount (₹)</t>
  </si>
  <si>
    <t>Blockchain development,</t>
  </si>
  <si>
    <t>Cloud infrastructure,</t>
  </si>
  <si>
    <t>Encryption systems,</t>
  </si>
  <si>
    <t>Skilled cybersecurity professionals.</t>
  </si>
  <si>
    <t>Total Initial Cost</t>
  </si>
  <si>
    <t>B. Annual Operating Costs</t>
  </si>
  <si>
    <t>Annual Cost (₹)</t>
  </si>
  <si>
    <t>App maintenance &amp; feature updates</t>
  </si>
  <si>
    <t>Customer support &amp; dispute resolution</t>
  </si>
  <si>
    <t>Delivery partner support systems</t>
  </si>
  <si>
    <t>Cybersecurity &amp; data protection</t>
  </si>
  <si>
    <t>Total Annual Cost</t>
  </si>
  <si>
    <t>C. Annual Benefit</t>
  </si>
  <si>
    <t xml:space="preserve">Number of Clients </t>
  </si>
  <si>
    <t>Annual Subscription Fees</t>
  </si>
  <si>
    <t>Annusl Reveue From Clients</t>
  </si>
  <si>
    <t>D. Net Benefit for 2 Years</t>
  </si>
  <si>
    <t>Net Benefit = Total Revenue – Annual Operational Cost – Initial Investment.</t>
  </si>
  <si>
    <t xml:space="preserve">Years </t>
  </si>
  <si>
    <t>Profit</t>
  </si>
  <si>
    <t>Net Benefit Year - 1</t>
  </si>
  <si>
    <t>Net Benefit Year - 2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</si>
</sst>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₹]#,##0.00"/>
  </numFmts>
  <fonts count="4">
    <font>
      <sz val="10.0"/>
      <color rgb="FF000000"/>
      <name val="Arial"/>
      <scheme val="minor"/>
    </font>
    <font>
      <sz val="12.0"/>
      <color theme="1"/>
      <name val="Calibri"/>
    </font>
    <font>
      <color theme="1"/>
      <name val="Arial"/>
      <scheme val="minor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readingOrder="0"/>
    </xf>
    <xf borderId="0" fillId="0" fontId="3" numFmtId="0" xfId="0" applyFont="1"/>
    <xf borderId="1" fillId="0" fontId="3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shrinkToFit="0" wrapText="1"/>
    </xf>
    <xf borderId="1" fillId="0" fontId="1" numFmtId="164" xfId="0" applyAlignment="1" applyBorder="1" applyFont="1" applyNumberFormat="1">
      <alignment horizontal="right" readingOrder="0" shrinkToFit="0" wrapText="1"/>
    </xf>
    <xf borderId="1" fillId="0" fontId="3" numFmtId="0" xfId="0" applyAlignment="1" applyBorder="1" applyFont="1">
      <alignment shrinkToFit="0" wrapText="1"/>
    </xf>
    <xf borderId="0" fillId="0" fontId="3" numFmtId="0" xfId="0" applyAlignment="1" applyFont="1">
      <alignment horizontal="center" shrinkToFit="0" wrapText="1"/>
    </xf>
    <xf borderId="1" fillId="0" fontId="1" numFmtId="164" xfId="0" applyBorder="1" applyFont="1" applyNumberFormat="1"/>
    <xf borderId="0" fillId="0" fontId="3" numFmtId="0" xfId="0" applyAlignment="1" applyFont="1">
      <alignment readingOrder="0"/>
    </xf>
    <xf borderId="1" fillId="0" fontId="1" numFmtId="4" xfId="0" applyAlignment="1" applyBorder="1" applyFont="1" applyNumberFormat="1">
      <alignment horizontal="right" readingOrder="0" shrinkToFit="0" wrapText="1"/>
    </xf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2" max="2" width="13.88"/>
  </cols>
  <sheetData>
    <row r="1">
      <c r="A1" s="1" t="s">
        <v>0</v>
      </c>
    </row>
    <row r="2">
      <c r="A2" s="1" t="s">
        <v>1</v>
      </c>
    </row>
    <row r="3">
      <c r="A3" s="2"/>
    </row>
    <row r="4">
      <c r="A4" s="2"/>
    </row>
    <row r="5">
      <c r="A5" s="3" t="s">
        <v>2</v>
      </c>
    </row>
    <row r="6">
      <c r="A6" s="3"/>
    </row>
    <row r="7">
      <c r="A7" s="4" t="s">
        <v>3</v>
      </c>
      <c r="B7" s="4" t="s">
        <v>4</v>
      </c>
    </row>
    <row r="8">
      <c r="A8" s="5" t="s">
        <v>5</v>
      </c>
      <c r="B8" s="6">
        <v>1.0E7</v>
      </c>
    </row>
    <row r="9">
      <c r="A9" s="5" t="s">
        <v>6</v>
      </c>
      <c r="B9" s="6">
        <v>2.5E7</v>
      </c>
    </row>
    <row r="10">
      <c r="A10" s="5" t="s">
        <v>7</v>
      </c>
      <c r="B10" s="6">
        <v>1.0E7</v>
      </c>
    </row>
    <row r="11">
      <c r="A11" s="5" t="s">
        <v>8</v>
      </c>
      <c r="B11" s="6">
        <v>1.5E7</v>
      </c>
    </row>
    <row r="12">
      <c r="A12" s="7" t="s">
        <v>9</v>
      </c>
      <c r="B12" s="6">
        <f>SUM(B8+B9+B10+B11)</f>
        <v>60000000</v>
      </c>
    </row>
    <row r="14">
      <c r="A14" s="3" t="s">
        <v>10</v>
      </c>
    </row>
    <row r="15">
      <c r="A15" s="8"/>
      <c r="B15" s="8"/>
    </row>
    <row r="16">
      <c r="A16" s="4" t="s">
        <v>3</v>
      </c>
      <c r="B16" s="4" t="s">
        <v>11</v>
      </c>
    </row>
    <row r="17">
      <c r="A17" s="5" t="s">
        <v>12</v>
      </c>
      <c r="B17" s="6">
        <v>2500000.0</v>
      </c>
    </row>
    <row r="18">
      <c r="A18" s="5" t="s">
        <v>13</v>
      </c>
      <c r="B18" s="6">
        <v>4500000.0</v>
      </c>
    </row>
    <row r="19">
      <c r="A19" s="5" t="s">
        <v>14</v>
      </c>
      <c r="B19" s="6">
        <v>3000000.0</v>
      </c>
    </row>
    <row r="20">
      <c r="A20" s="5" t="s">
        <v>15</v>
      </c>
      <c r="B20" s="6">
        <v>1.0E7</v>
      </c>
    </row>
    <row r="21">
      <c r="A21" s="7" t="s">
        <v>16</v>
      </c>
      <c r="B21" s="9">
        <f>SUM(B17:B20)</f>
        <v>20000000</v>
      </c>
    </row>
    <row r="23">
      <c r="A23" s="10" t="s">
        <v>17</v>
      </c>
    </row>
    <row r="24">
      <c r="A24" s="2"/>
      <c r="B24" s="2"/>
    </row>
    <row r="25">
      <c r="A25" s="5" t="s">
        <v>18</v>
      </c>
      <c r="B25" s="11">
        <v>200.0</v>
      </c>
    </row>
    <row r="26">
      <c r="A26" s="5" t="s">
        <v>19</v>
      </c>
      <c r="B26" s="6">
        <v>300000.0</v>
      </c>
    </row>
    <row r="27">
      <c r="A27" s="5" t="s">
        <v>20</v>
      </c>
      <c r="B27" s="6">
        <f>sum(B26*B25)</f>
        <v>60000000</v>
      </c>
    </row>
    <row r="28">
      <c r="A28" s="2"/>
    </row>
    <row r="29">
      <c r="A29" s="12" t="s">
        <v>21</v>
      </c>
      <c r="B29" s="1" t="s">
        <v>22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8"/>
      <c r="B30" s="8"/>
    </row>
    <row r="31">
      <c r="A31" s="4" t="s">
        <v>23</v>
      </c>
      <c r="B31" s="4" t="s">
        <v>24</v>
      </c>
    </row>
    <row r="32">
      <c r="A32" s="5" t="s">
        <v>25</v>
      </c>
      <c r="B32" s="6">
        <f>sum(B27-B21-B12)</f>
        <v>-20000000</v>
      </c>
    </row>
    <row r="33">
      <c r="A33" s="5" t="s">
        <v>26</v>
      </c>
      <c r="B33" s="6">
        <f>sum(B27-B21)</f>
        <v>40000000</v>
      </c>
    </row>
  </sheetData>
  <drawing r:id="rId1"/>
</worksheet>
</file>